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#.Secure Work Folder\구매관리\삭제예정\"/>
    </mc:Choice>
  </mc:AlternateContent>
  <xr:revisionPtr revIDLastSave="0" documentId="8_{C90E1850-7F00-4C92-AC53-20CC45EA4FC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견적서(상세)" sheetId="1" r:id="rId1"/>
    <sheet name="Reference" sheetId="2" state="hidden" r:id="rId2"/>
  </sheets>
  <definedNames>
    <definedName name="UNIT_노무비">Reference!$D$1:$D$4</definedName>
    <definedName name="UNIT_재료비">Reference!$E$1:$E$12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G13" i="1" l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4" i="1"/>
  <c r="I13" i="1"/>
  <c r="I12" i="1"/>
  <c r="I11" i="1"/>
  <c r="I62" i="1" l="1"/>
</calcChain>
</file>

<file path=xl/sharedStrings.xml><?xml version="1.0" encoding="utf-8"?>
<sst xmlns="http://schemas.openxmlformats.org/spreadsheetml/2006/main" count="86" uniqueCount="65">
  <si>
    <t>1.일반용역</t>
  </si>
  <si>
    <t>2.SW용역</t>
  </si>
  <si>
    <t>3-1.종합건축</t>
  </si>
  <si>
    <t>3-2.전문/인테리어</t>
  </si>
  <si>
    <t>3-3.전기/통신</t>
  </si>
  <si>
    <t>4.마케팅</t>
  </si>
  <si>
    <t>5.연구용역</t>
  </si>
  <si>
    <t>노무비</t>
  </si>
  <si>
    <t>재료비</t>
  </si>
  <si>
    <t>경비</t>
  </si>
  <si>
    <t>제경비</t>
  </si>
  <si>
    <t>일반관리비</t>
  </si>
  <si>
    <t>이윤</t>
  </si>
  <si>
    <t>산업안전보건관리비</t>
  </si>
  <si>
    <t>기술료</t>
  </si>
  <si>
    <t>특급</t>
  </si>
  <si>
    <t>고급</t>
  </si>
  <si>
    <t>중급</t>
  </si>
  <si>
    <t>초급</t>
  </si>
  <si>
    <t>반장</t>
  </si>
  <si>
    <t>보통</t>
  </si>
  <si>
    <t>해당없음</t>
  </si>
  <si>
    <t>시간(Hr)</t>
  </si>
  <si>
    <t>일(day)</t>
  </si>
  <si>
    <t>월(Month)</t>
  </si>
  <si>
    <t>연(Year)</t>
  </si>
  <si>
    <t>EA</t>
  </si>
  <si>
    <t>Lot</t>
  </si>
  <si>
    <t>Pcs</t>
  </si>
  <si>
    <t>kg</t>
  </si>
  <si>
    <t>m</t>
  </si>
  <si>
    <t>set</t>
  </si>
  <si>
    <t>Box</t>
  </si>
  <si>
    <t>Roll</t>
  </si>
  <si>
    <t>Can</t>
  </si>
  <si>
    <t>Drum</t>
  </si>
  <si>
    <t>m2</t>
  </si>
  <si>
    <t>m3</t>
  </si>
  <si>
    <t>견  적  서</t>
  </si>
  <si>
    <t xml:space="preserve"> 일  자 : 2026 년    월    일</t>
  </si>
  <si>
    <t xml:space="preserve"> 수  신 : 귀하</t>
  </si>
  <si>
    <t>등록번호</t>
  </si>
  <si>
    <t>상  호</t>
  </si>
  <si>
    <t>대 표</t>
  </si>
  <si>
    <t>합 계 금 액 :   일금    [자동계산]    원정 (VAT 별도)</t>
  </si>
  <si>
    <t>No</t>
  </si>
  <si>
    <t>카테고리</t>
  </si>
  <si>
    <t>비목</t>
  </si>
  <si>
    <t>품명(상세내역)</t>
  </si>
  <si>
    <t>등급</t>
  </si>
  <si>
    <t>단위</t>
  </si>
  <si>
    <t>수량</t>
  </si>
  <si>
    <t>단가</t>
  </si>
  <si>
    <t>금액(원)</t>
  </si>
  <si>
    <t>비고</t>
  </si>
  <si>
    <t>총     계</t>
  </si>
  <si>
    <t>월</t>
    <phoneticPr fontId="7" type="noConversion"/>
  </si>
  <si>
    <t>유한요소 모델러A</t>
    <phoneticPr fontId="7" type="noConversion"/>
  </si>
  <si>
    <t>유한요소 모델러B</t>
    <phoneticPr fontId="7" type="noConversion"/>
  </si>
  <si>
    <t>Workstation((PC/LCD)</t>
    <phoneticPr fontId="7" type="noConversion"/>
  </si>
  <si>
    <t>EA</t>
    <phoneticPr fontId="7" type="noConversion"/>
  </si>
  <si>
    <t>업무협의 출장비</t>
    <phoneticPr fontId="7" type="noConversion"/>
  </si>
  <si>
    <t>EA</t>
    <phoneticPr fontId="7" type="noConversion"/>
  </si>
  <si>
    <t>직접인건비 * 23%</t>
    <phoneticPr fontId="7" type="noConversion"/>
  </si>
  <si>
    <t>(직접인건비+일반관리비)*10.003%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</si>
</sst>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u/>
      <sz val="20"/>
      <color theme="1"/>
      <name val="맑은 고딕"/>
      <family val="2"/>
    </font>
    <font>
      <sz val="10"/>
      <color theme="1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sz val="9"/>
      <color theme="1"/>
      <name val="맑은 고딕"/>
      <family val="2"/>
    </font>
    <font>
      <b/>
      <sz val="9"/>
      <color theme="1"/>
      <name val="맑은 고딕"/>
      <family val="2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selection activeCell="H13" sqref="H13"/>
    </sheetView>
  </sheetViews>
  <sheetFormatPr defaultRowHeight="16.5" x14ac:dyDescent="0.3"/>
  <cols>
    <col min="1" max="1" width="5.75" customWidth="1"/>
    <col min="2" max="2" width="18.75" customWidth="1"/>
    <col min="3" max="3" width="12.75" customWidth="1"/>
    <col min="4" max="4" width="25.75" customWidth="1"/>
    <col min="5" max="5" width="12.75" customWidth="1"/>
    <col min="6" max="6" width="10.75" customWidth="1"/>
    <col min="7" max="7" width="8.75" customWidth="1"/>
    <col min="8" max="10" width="15.75" customWidth="1"/>
  </cols>
  <sheetData>
    <row r="1" spans="1:10" ht="31.5" x14ac:dyDescent="0.3">
      <c r="A1" s="10" t="s">
        <v>38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1" t="s">
        <v>39</v>
      </c>
      <c r="B3" s="11"/>
      <c r="C3" s="11"/>
      <c r="D3" s="11"/>
      <c r="G3" s="1" t="s">
        <v>41</v>
      </c>
      <c r="H3" s="7"/>
      <c r="I3" s="7"/>
      <c r="J3" s="7"/>
    </row>
    <row r="4" spans="1:10" x14ac:dyDescent="0.3">
      <c r="A4" s="11" t="s">
        <v>40</v>
      </c>
      <c r="B4" s="11"/>
      <c r="C4" s="11"/>
      <c r="D4" s="11"/>
      <c r="G4" s="1" t="s">
        <v>42</v>
      </c>
      <c r="H4" s="7"/>
      <c r="I4" s="7"/>
      <c r="J4" s="7"/>
    </row>
    <row r="5" spans="1:10" x14ac:dyDescent="0.3">
      <c r="G5" s="1" t="s">
        <v>43</v>
      </c>
      <c r="H5" s="7"/>
      <c r="I5" s="7"/>
      <c r="J5" s="7"/>
    </row>
    <row r="8" spans="1:10" ht="17.25" x14ac:dyDescent="0.3">
      <c r="A8" s="8" t="s">
        <v>44</v>
      </c>
      <c r="B8" s="8"/>
      <c r="C8" s="8"/>
      <c r="D8" s="8"/>
      <c r="E8" s="8"/>
      <c r="F8" s="8"/>
      <c r="G8" s="8"/>
      <c r="H8" s="8"/>
      <c r="I8" s="8"/>
      <c r="J8" s="8"/>
    </row>
    <row r="10" spans="1:10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53</v>
      </c>
      <c r="J10" s="2" t="s">
        <v>54</v>
      </c>
    </row>
    <row r="11" spans="1:10" x14ac:dyDescent="0.3">
      <c r="A11" s="3">
        <v>1</v>
      </c>
      <c r="B11" s="4" t="s">
        <v>1</v>
      </c>
      <c r="C11" s="4" t="s">
        <v>7</v>
      </c>
      <c r="D11" s="3" t="s">
        <v>57</v>
      </c>
      <c r="E11" s="4" t="s">
        <v>16</v>
      </c>
      <c r="F11" s="4" t="s">
        <v>56</v>
      </c>
      <c r="G11" s="5">
        <v>60</v>
      </c>
      <c r="H11" s="5">
        <v>7536139</v>
      </c>
      <c r="I11" s="6">
        <f t="shared" ref="I11:I42" si="0">G11*H11</f>
        <v>452168340</v>
      </c>
      <c r="J11" s="3"/>
    </row>
    <row r="12" spans="1:10" x14ac:dyDescent="0.3">
      <c r="A12" s="3">
        <v>2</v>
      </c>
      <c r="B12" s="4" t="s">
        <v>1</v>
      </c>
      <c r="C12" s="4" t="s">
        <v>7</v>
      </c>
      <c r="D12" s="3" t="s">
        <v>58</v>
      </c>
      <c r="E12" s="4" t="s">
        <v>17</v>
      </c>
      <c r="F12" s="4" t="s">
        <v>56</v>
      </c>
      <c r="G12" s="5">
        <v>24</v>
      </c>
      <c r="H12" s="5">
        <v>6320633</v>
      </c>
      <c r="I12" s="6">
        <f t="shared" si="0"/>
        <v>151695192</v>
      </c>
      <c r="J12" s="3"/>
    </row>
    <row r="13" spans="1:10" x14ac:dyDescent="0.3">
      <c r="A13" s="3">
        <v>3</v>
      </c>
      <c r="B13" s="4" t="s">
        <v>1</v>
      </c>
      <c r="C13" s="4" t="s">
        <v>9</v>
      </c>
      <c r="D13" s="3" t="s">
        <v>59</v>
      </c>
      <c r="E13" s="4" t="s">
        <v>21</v>
      </c>
      <c r="F13" s="4" t="s">
        <v>60</v>
      </c>
      <c r="G13" s="5">
        <f>365*7</f>
        <v>2555</v>
      </c>
      <c r="H13" s="5">
        <v>12000</v>
      </c>
      <c r="I13" s="6">
        <f t="shared" si="0"/>
        <v>30660000</v>
      </c>
      <c r="J13" s="3"/>
    </row>
    <row r="14" spans="1:10" x14ac:dyDescent="0.3">
      <c r="A14" s="3">
        <v>4</v>
      </c>
      <c r="B14" s="4" t="s">
        <v>1</v>
      </c>
      <c r="C14" s="4" t="s">
        <v>9</v>
      </c>
      <c r="D14" s="3" t="s">
        <v>61</v>
      </c>
      <c r="E14" s="4" t="s">
        <v>21</v>
      </c>
      <c r="F14" s="4" t="s">
        <v>62</v>
      </c>
      <c r="G14" s="5">
        <v>12</v>
      </c>
      <c r="H14" s="5">
        <v>100000</v>
      </c>
      <c r="I14" s="6">
        <f t="shared" si="0"/>
        <v>1200000</v>
      </c>
      <c r="J14" s="3"/>
    </row>
    <row r="15" spans="1:10" x14ac:dyDescent="0.3">
      <c r="A15" s="3">
        <v>5</v>
      </c>
      <c r="B15" s="4" t="s">
        <v>1</v>
      </c>
      <c r="C15" s="4" t="s">
        <v>11</v>
      </c>
      <c r="D15" s="3" t="s">
        <v>63</v>
      </c>
      <c r="E15" s="4" t="s">
        <v>21</v>
      </c>
      <c r="F15" s="4" t="s">
        <v>60</v>
      </c>
      <c r="G15" s="5">
        <v>1</v>
      </c>
      <c r="H15" s="5">
        <v>138888612</v>
      </c>
      <c r="I15" s="6">
        <f t="shared" si="0"/>
        <v>138888612</v>
      </c>
      <c r="J15" s="3"/>
    </row>
    <row r="16" spans="1:10" x14ac:dyDescent="0.3">
      <c r="A16" s="3">
        <v>6</v>
      </c>
      <c r="B16" s="4" t="s">
        <v>1</v>
      </c>
      <c r="C16" s="4" t="s">
        <v>12</v>
      </c>
      <c r="D16" s="3" t="s">
        <v>64</v>
      </c>
      <c r="E16" s="4" t="s">
        <v>21</v>
      </c>
      <c r="F16" s="4" t="s">
        <v>60</v>
      </c>
      <c r="G16" s="5">
        <v>1</v>
      </c>
      <c r="H16" s="5">
        <v>74275211</v>
      </c>
      <c r="I16" s="6">
        <f t="shared" si="0"/>
        <v>74275211</v>
      </c>
      <c r="J16" s="3"/>
    </row>
    <row r="17" spans="1:10" x14ac:dyDescent="0.3">
      <c r="A17" s="3">
        <v>7</v>
      </c>
      <c r="B17" s="4"/>
      <c r="C17" s="4"/>
      <c r="D17" s="3"/>
      <c r="E17" s="4"/>
      <c r="F17" s="4"/>
      <c r="G17" s="5"/>
      <c r="H17" s="5"/>
      <c r="I17" s="6">
        <f t="shared" si="0"/>
        <v>0</v>
      </c>
      <c r="J17" s="3"/>
    </row>
    <row r="18" spans="1:10" x14ac:dyDescent="0.3">
      <c r="A18" s="3">
        <v>8</v>
      </c>
      <c r="B18" s="4"/>
      <c r="C18" s="4"/>
      <c r="D18" s="3"/>
      <c r="E18" s="4"/>
      <c r="F18" s="4"/>
      <c r="G18" s="5"/>
      <c r="H18" s="5"/>
      <c r="I18" s="6">
        <f t="shared" si="0"/>
        <v>0</v>
      </c>
      <c r="J18" s="3"/>
    </row>
    <row r="19" spans="1:10" x14ac:dyDescent="0.3">
      <c r="A19" s="3">
        <v>9</v>
      </c>
      <c r="B19" s="4"/>
      <c r="C19" s="4"/>
      <c r="D19" s="3"/>
      <c r="E19" s="4"/>
      <c r="F19" s="4"/>
      <c r="G19" s="5"/>
      <c r="H19" s="5"/>
      <c r="I19" s="6">
        <f t="shared" si="0"/>
        <v>0</v>
      </c>
      <c r="J19" s="3"/>
    </row>
    <row r="20" spans="1:10" x14ac:dyDescent="0.3">
      <c r="A20" s="3">
        <v>10</v>
      </c>
      <c r="B20" s="4"/>
      <c r="C20" s="4"/>
      <c r="D20" s="3"/>
      <c r="E20" s="4"/>
      <c r="F20" s="4"/>
      <c r="G20" s="5"/>
      <c r="H20" s="5"/>
      <c r="I20" s="6">
        <f t="shared" si="0"/>
        <v>0</v>
      </c>
      <c r="J20" s="3"/>
    </row>
    <row r="21" spans="1:10" x14ac:dyDescent="0.3">
      <c r="A21" s="3">
        <v>11</v>
      </c>
      <c r="B21" s="4"/>
      <c r="C21" s="4"/>
      <c r="D21" s="3"/>
      <c r="E21" s="4"/>
      <c r="F21" s="4"/>
      <c r="G21" s="5"/>
      <c r="H21" s="5"/>
      <c r="I21" s="6">
        <f t="shared" si="0"/>
        <v>0</v>
      </c>
      <c r="J21" s="3"/>
    </row>
    <row r="22" spans="1:10" x14ac:dyDescent="0.3">
      <c r="A22" s="3">
        <v>12</v>
      </c>
      <c r="B22" s="4"/>
      <c r="C22" s="4"/>
      <c r="D22" s="3"/>
      <c r="E22" s="4"/>
      <c r="F22" s="4"/>
      <c r="G22" s="5"/>
      <c r="H22" s="5"/>
      <c r="I22" s="6">
        <f t="shared" si="0"/>
        <v>0</v>
      </c>
      <c r="J22" s="3"/>
    </row>
    <row r="23" spans="1:10" x14ac:dyDescent="0.3">
      <c r="A23" s="3">
        <v>13</v>
      </c>
      <c r="B23" s="4"/>
      <c r="C23" s="4"/>
      <c r="D23" s="3"/>
      <c r="E23" s="4"/>
      <c r="F23" s="4"/>
      <c r="G23" s="5"/>
      <c r="H23" s="5"/>
      <c r="I23" s="6">
        <f t="shared" si="0"/>
        <v>0</v>
      </c>
      <c r="J23" s="3"/>
    </row>
    <row r="24" spans="1:10" x14ac:dyDescent="0.3">
      <c r="A24" s="3">
        <v>14</v>
      </c>
      <c r="B24" s="4"/>
      <c r="C24" s="4"/>
      <c r="D24" s="3"/>
      <c r="E24" s="4"/>
      <c r="F24" s="4"/>
      <c r="G24" s="5"/>
      <c r="H24" s="5"/>
      <c r="I24" s="6">
        <f t="shared" si="0"/>
        <v>0</v>
      </c>
      <c r="J24" s="3"/>
    </row>
    <row r="25" spans="1:10" x14ac:dyDescent="0.3">
      <c r="A25" s="3">
        <v>15</v>
      </c>
      <c r="B25" s="4"/>
      <c r="C25" s="4"/>
      <c r="D25" s="3"/>
      <c r="E25" s="4"/>
      <c r="F25" s="4"/>
      <c r="G25" s="5"/>
      <c r="H25" s="5"/>
      <c r="I25" s="6">
        <f t="shared" si="0"/>
        <v>0</v>
      </c>
      <c r="J25" s="3"/>
    </row>
    <row r="26" spans="1:10" x14ac:dyDescent="0.3">
      <c r="A26" s="3">
        <v>16</v>
      </c>
      <c r="B26" s="4"/>
      <c r="C26" s="4"/>
      <c r="D26" s="3"/>
      <c r="E26" s="4"/>
      <c r="F26" s="4"/>
      <c r="G26" s="5"/>
      <c r="H26" s="5"/>
      <c r="I26" s="6">
        <f t="shared" si="0"/>
        <v>0</v>
      </c>
      <c r="J26" s="3"/>
    </row>
    <row r="27" spans="1:10" x14ac:dyDescent="0.3">
      <c r="A27" s="3">
        <v>17</v>
      </c>
      <c r="B27" s="4"/>
      <c r="C27" s="4"/>
      <c r="D27" s="3"/>
      <c r="E27" s="4"/>
      <c r="F27" s="4"/>
      <c r="G27" s="5"/>
      <c r="H27" s="5"/>
      <c r="I27" s="6">
        <f t="shared" si="0"/>
        <v>0</v>
      </c>
      <c r="J27" s="3"/>
    </row>
    <row r="28" spans="1:10" x14ac:dyDescent="0.3">
      <c r="A28" s="3">
        <v>18</v>
      </c>
      <c r="B28" s="4"/>
      <c r="C28" s="4"/>
      <c r="D28" s="3"/>
      <c r="E28" s="4"/>
      <c r="F28" s="4"/>
      <c r="G28" s="5"/>
      <c r="H28" s="5"/>
      <c r="I28" s="6">
        <f t="shared" si="0"/>
        <v>0</v>
      </c>
      <c r="J28" s="3"/>
    </row>
    <row r="29" spans="1:10" x14ac:dyDescent="0.3">
      <c r="A29" s="3">
        <v>19</v>
      </c>
      <c r="B29" s="4"/>
      <c r="C29" s="4"/>
      <c r="D29" s="3"/>
      <c r="E29" s="4"/>
      <c r="F29" s="4"/>
      <c r="G29" s="5"/>
      <c r="H29" s="5"/>
      <c r="I29" s="6">
        <f t="shared" si="0"/>
        <v>0</v>
      </c>
      <c r="J29" s="3"/>
    </row>
    <row r="30" spans="1:10" x14ac:dyDescent="0.3">
      <c r="A30" s="3">
        <v>20</v>
      </c>
      <c r="B30" s="4"/>
      <c r="C30" s="4"/>
      <c r="D30" s="3"/>
      <c r="E30" s="4"/>
      <c r="F30" s="4"/>
      <c r="G30" s="5"/>
      <c r="H30" s="5"/>
      <c r="I30" s="6">
        <f t="shared" si="0"/>
        <v>0</v>
      </c>
      <c r="J30" s="3"/>
    </row>
    <row r="31" spans="1:10" x14ac:dyDescent="0.3">
      <c r="A31" s="3">
        <v>21</v>
      </c>
      <c r="B31" s="4"/>
      <c r="C31" s="4"/>
      <c r="D31" s="3"/>
      <c r="E31" s="4"/>
      <c r="F31" s="4"/>
      <c r="G31" s="5"/>
      <c r="H31" s="5"/>
      <c r="I31" s="6">
        <f t="shared" si="0"/>
        <v>0</v>
      </c>
      <c r="J31" s="3"/>
    </row>
    <row r="32" spans="1:10" x14ac:dyDescent="0.3">
      <c r="A32" s="3">
        <v>22</v>
      </c>
      <c r="B32" s="4"/>
      <c r="C32" s="4"/>
      <c r="D32" s="3"/>
      <c r="E32" s="4"/>
      <c r="F32" s="4"/>
      <c r="G32" s="5"/>
      <c r="H32" s="5"/>
      <c r="I32" s="6">
        <f t="shared" si="0"/>
        <v>0</v>
      </c>
      <c r="J32" s="3"/>
    </row>
    <row r="33" spans="1:10" x14ac:dyDescent="0.3">
      <c r="A33" s="3">
        <v>23</v>
      </c>
      <c r="B33" s="4"/>
      <c r="C33" s="4"/>
      <c r="D33" s="3"/>
      <c r="E33" s="4"/>
      <c r="F33" s="4"/>
      <c r="G33" s="5"/>
      <c r="H33" s="5"/>
      <c r="I33" s="6">
        <f t="shared" si="0"/>
        <v>0</v>
      </c>
      <c r="J33" s="3"/>
    </row>
    <row r="34" spans="1:10" x14ac:dyDescent="0.3">
      <c r="A34" s="3">
        <v>24</v>
      </c>
      <c r="B34" s="4"/>
      <c r="C34" s="4"/>
      <c r="D34" s="3"/>
      <c r="E34" s="4"/>
      <c r="F34" s="4"/>
      <c r="G34" s="5"/>
      <c r="H34" s="5"/>
      <c r="I34" s="6">
        <f t="shared" si="0"/>
        <v>0</v>
      </c>
      <c r="J34" s="3"/>
    </row>
    <row r="35" spans="1:10" x14ac:dyDescent="0.3">
      <c r="A35" s="3">
        <v>25</v>
      </c>
      <c r="B35" s="4"/>
      <c r="C35" s="4"/>
      <c r="D35" s="3"/>
      <c r="E35" s="4"/>
      <c r="F35" s="4"/>
      <c r="G35" s="5"/>
      <c r="H35" s="5"/>
      <c r="I35" s="6">
        <f t="shared" si="0"/>
        <v>0</v>
      </c>
      <c r="J35" s="3"/>
    </row>
    <row r="36" spans="1:10" x14ac:dyDescent="0.3">
      <c r="A36" s="3">
        <v>26</v>
      </c>
      <c r="B36" s="4"/>
      <c r="C36" s="4"/>
      <c r="D36" s="3"/>
      <c r="E36" s="4"/>
      <c r="F36" s="4"/>
      <c r="G36" s="5"/>
      <c r="H36" s="5"/>
      <c r="I36" s="6">
        <f t="shared" si="0"/>
        <v>0</v>
      </c>
      <c r="J36" s="3"/>
    </row>
    <row r="37" spans="1:10" x14ac:dyDescent="0.3">
      <c r="A37" s="3">
        <v>27</v>
      </c>
      <c r="B37" s="4"/>
      <c r="C37" s="4"/>
      <c r="D37" s="3"/>
      <c r="E37" s="4"/>
      <c r="F37" s="4"/>
      <c r="G37" s="5"/>
      <c r="H37" s="5"/>
      <c r="I37" s="6">
        <f t="shared" si="0"/>
        <v>0</v>
      </c>
      <c r="J37" s="3"/>
    </row>
    <row r="38" spans="1:10" x14ac:dyDescent="0.3">
      <c r="A38" s="3">
        <v>28</v>
      </c>
      <c r="B38" s="4"/>
      <c r="C38" s="4"/>
      <c r="D38" s="3"/>
      <c r="E38" s="4"/>
      <c r="F38" s="4"/>
      <c r="G38" s="5"/>
      <c r="H38" s="5"/>
      <c r="I38" s="6">
        <f t="shared" si="0"/>
        <v>0</v>
      </c>
      <c r="J38" s="3"/>
    </row>
    <row r="39" spans="1:10" x14ac:dyDescent="0.3">
      <c r="A39" s="3">
        <v>29</v>
      </c>
      <c r="B39" s="4"/>
      <c r="C39" s="4"/>
      <c r="D39" s="3"/>
      <c r="E39" s="4"/>
      <c r="F39" s="4"/>
      <c r="G39" s="5"/>
      <c r="H39" s="5"/>
      <c r="I39" s="6">
        <f t="shared" si="0"/>
        <v>0</v>
      </c>
      <c r="J39" s="3"/>
    </row>
    <row r="40" spans="1:10" x14ac:dyDescent="0.3">
      <c r="A40" s="3">
        <v>30</v>
      </c>
      <c r="B40" s="4"/>
      <c r="C40" s="4"/>
      <c r="D40" s="3"/>
      <c r="E40" s="4"/>
      <c r="F40" s="4"/>
      <c r="G40" s="5"/>
      <c r="H40" s="5"/>
      <c r="I40" s="6">
        <f t="shared" si="0"/>
        <v>0</v>
      </c>
      <c r="J40" s="3"/>
    </row>
    <row r="41" spans="1:10" x14ac:dyDescent="0.3">
      <c r="A41" s="3">
        <v>31</v>
      </c>
      <c r="B41" s="4"/>
      <c r="C41" s="4"/>
      <c r="D41" s="3"/>
      <c r="E41" s="4"/>
      <c r="F41" s="4"/>
      <c r="G41" s="5"/>
      <c r="H41" s="5"/>
      <c r="I41" s="6">
        <f t="shared" si="0"/>
        <v>0</v>
      </c>
      <c r="J41" s="3"/>
    </row>
    <row r="42" spans="1:10" x14ac:dyDescent="0.3">
      <c r="A42" s="3">
        <v>32</v>
      </c>
      <c r="B42" s="4"/>
      <c r="C42" s="4"/>
      <c r="D42" s="3"/>
      <c r="E42" s="4"/>
      <c r="F42" s="4"/>
      <c r="G42" s="5"/>
      <c r="H42" s="5"/>
      <c r="I42" s="6">
        <f t="shared" si="0"/>
        <v>0</v>
      </c>
      <c r="J42" s="3"/>
    </row>
    <row r="43" spans="1:10" x14ac:dyDescent="0.3">
      <c r="A43" s="3">
        <v>33</v>
      </c>
      <c r="B43" s="4"/>
      <c r="C43" s="4"/>
      <c r="D43" s="3"/>
      <c r="E43" s="4"/>
      <c r="F43" s="4"/>
      <c r="G43" s="5"/>
      <c r="H43" s="5"/>
      <c r="I43" s="6">
        <f t="shared" ref="I43:I60" si="1">G43*H43</f>
        <v>0</v>
      </c>
      <c r="J43" s="3"/>
    </row>
    <row r="44" spans="1:10" x14ac:dyDescent="0.3">
      <c r="A44" s="3">
        <v>34</v>
      </c>
      <c r="B44" s="4"/>
      <c r="C44" s="4"/>
      <c r="D44" s="3"/>
      <c r="E44" s="4"/>
      <c r="F44" s="4"/>
      <c r="G44" s="5"/>
      <c r="H44" s="5"/>
      <c r="I44" s="6">
        <f t="shared" si="1"/>
        <v>0</v>
      </c>
      <c r="J44" s="3"/>
    </row>
    <row r="45" spans="1:10" x14ac:dyDescent="0.3">
      <c r="A45" s="3">
        <v>35</v>
      </c>
      <c r="B45" s="4"/>
      <c r="C45" s="4"/>
      <c r="D45" s="3"/>
      <c r="E45" s="4"/>
      <c r="F45" s="4"/>
      <c r="G45" s="5"/>
      <c r="H45" s="5"/>
      <c r="I45" s="6">
        <f t="shared" si="1"/>
        <v>0</v>
      </c>
      <c r="J45" s="3"/>
    </row>
    <row r="46" spans="1:10" x14ac:dyDescent="0.3">
      <c r="A46" s="3">
        <v>36</v>
      </c>
      <c r="B46" s="4"/>
      <c r="C46" s="4"/>
      <c r="D46" s="3"/>
      <c r="E46" s="4"/>
      <c r="F46" s="4"/>
      <c r="G46" s="5"/>
      <c r="H46" s="5"/>
      <c r="I46" s="6">
        <f t="shared" si="1"/>
        <v>0</v>
      </c>
      <c r="J46" s="3"/>
    </row>
    <row r="47" spans="1:10" x14ac:dyDescent="0.3">
      <c r="A47" s="3">
        <v>37</v>
      </c>
      <c r="B47" s="4"/>
      <c r="C47" s="4"/>
      <c r="D47" s="3"/>
      <c r="E47" s="4"/>
      <c r="F47" s="4"/>
      <c r="G47" s="5"/>
      <c r="H47" s="5"/>
      <c r="I47" s="6">
        <f t="shared" si="1"/>
        <v>0</v>
      </c>
      <c r="J47" s="3"/>
    </row>
    <row r="48" spans="1:10" x14ac:dyDescent="0.3">
      <c r="A48" s="3">
        <v>38</v>
      </c>
      <c r="B48" s="4"/>
      <c r="C48" s="4"/>
      <c r="D48" s="3"/>
      <c r="E48" s="4"/>
      <c r="F48" s="4"/>
      <c r="G48" s="5"/>
      <c r="H48" s="5"/>
      <c r="I48" s="6">
        <f t="shared" si="1"/>
        <v>0</v>
      </c>
      <c r="J48" s="3"/>
    </row>
    <row r="49" spans="1:10" x14ac:dyDescent="0.3">
      <c r="A49" s="3">
        <v>39</v>
      </c>
      <c r="B49" s="4"/>
      <c r="C49" s="4"/>
      <c r="D49" s="3"/>
      <c r="E49" s="4"/>
      <c r="F49" s="4"/>
      <c r="G49" s="5"/>
      <c r="H49" s="5"/>
      <c r="I49" s="6">
        <f t="shared" si="1"/>
        <v>0</v>
      </c>
      <c r="J49" s="3"/>
    </row>
    <row r="50" spans="1:10" x14ac:dyDescent="0.3">
      <c r="A50" s="3">
        <v>40</v>
      </c>
      <c r="B50" s="4"/>
      <c r="C50" s="4"/>
      <c r="D50" s="3"/>
      <c r="E50" s="4"/>
      <c r="F50" s="4"/>
      <c r="G50" s="5"/>
      <c r="H50" s="5"/>
      <c r="I50" s="6">
        <f t="shared" si="1"/>
        <v>0</v>
      </c>
      <c r="J50" s="3"/>
    </row>
    <row r="51" spans="1:10" x14ac:dyDescent="0.3">
      <c r="A51" s="3">
        <v>41</v>
      </c>
      <c r="B51" s="4"/>
      <c r="C51" s="4"/>
      <c r="D51" s="3"/>
      <c r="E51" s="4"/>
      <c r="F51" s="4"/>
      <c r="G51" s="5"/>
      <c r="H51" s="5"/>
      <c r="I51" s="6">
        <f t="shared" si="1"/>
        <v>0</v>
      </c>
      <c r="J51" s="3"/>
    </row>
    <row r="52" spans="1:10" x14ac:dyDescent="0.3">
      <c r="A52" s="3">
        <v>42</v>
      </c>
      <c r="B52" s="4"/>
      <c r="C52" s="4"/>
      <c r="D52" s="3"/>
      <c r="E52" s="4"/>
      <c r="F52" s="4"/>
      <c r="G52" s="5"/>
      <c r="H52" s="5"/>
      <c r="I52" s="6">
        <f t="shared" si="1"/>
        <v>0</v>
      </c>
      <c r="J52" s="3"/>
    </row>
    <row r="53" spans="1:10" x14ac:dyDescent="0.3">
      <c r="A53" s="3">
        <v>43</v>
      </c>
      <c r="B53" s="4"/>
      <c r="C53" s="4"/>
      <c r="D53" s="3"/>
      <c r="E53" s="4"/>
      <c r="F53" s="4"/>
      <c r="G53" s="5"/>
      <c r="H53" s="5"/>
      <c r="I53" s="6">
        <f t="shared" si="1"/>
        <v>0</v>
      </c>
      <c r="J53" s="3"/>
    </row>
    <row r="54" spans="1:10" x14ac:dyDescent="0.3">
      <c r="A54" s="3">
        <v>44</v>
      </c>
      <c r="B54" s="4"/>
      <c r="C54" s="4"/>
      <c r="D54" s="3"/>
      <c r="E54" s="4"/>
      <c r="F54" s="4"/>
      <c r="G54" s="5"/>
      <c r="H54" s="5"/>
      <c r="I54" s="6">
        <f t="shared" si="1"/>
        <v>0</v>
      </c>
      <c r="J54" s="3"/>
    </row>
    <row r="55" spans="1:10" x14ac:dyDescent="0.3">
      <c r="A55" s="3">
        <v>45</v>
      </c>
      <c r="B55" s="4"/>
      <c r="C55" s="4"/>
      <c r="D55" s="3"/>
      <c r="E55" s="4"/>
      <c r="F55" s="4"/>
      <c r="G55" s="5"/>
      <c r="H55" s="5"/>
      <c r="I55" s="6">
        <f t="shared" si="1"/>
        <v>0</v>
      </c>
      <c r="J55" s="3"/>
    </row>
    <row r="56" spans="1:10" x14ac:dyDescent="0.3">
      <c r="A56" s="3">
        <v>46</v>
      </c>
      <c r="B56" s="4"/>
      <c r="C56" s="4"/>
      <c r="D56" s="3"/>
      <c r="E56" s="4"/>
      <c r="F56" s="4"/>
      <c r="G56" s="5"/>
      <c r="H56" s="5"/>
      <c r="I56" s="6">
        <f t="shared" si="1"/>
        <v>0</v>
      </c>
      <c r="J56" s="3"/>
    </row>
    <row r="57" spans="1:10" x14ac:dyDescent="0.3">
      <c r="A57" s="3">
        <v>47</v>
      </c>
      <c r="B57" s="4"/>
      <c r="C57" s="4"/>
      <c r="D57" s="3"/>
      <c r="E57" s="4"/>
      <c r="F57" s="4"/>
      <c r="G57" s="5"/>
      <c r="H57" s="5"/>
      <c r="I57" s="6">
        <f t="shared" si="1"/>
        <v>0</v>
      </c>
      <c r="J57" s="3"/>
    </row>
    <row r="58" spans="1:10" x14ac:dyDescent="0.3">
      <c r="A58" s="3">
        <v>48</v>
      </c>
      <c r="B58" s="4"/>
      <c r="C58" s="4"/>
      <c r="D58" s="3"/>
      <c r="E58" s="4"/>
      <c r="F58" s="4"/>
      <c r="G58" s="5"/>
      <c r="H58" s="5"/>
      <c r="I58" s="6">
        <f t="shared" si="1"/>
        <v>0</v>
      </c>
      <c r="J58" s="3"/>
    </row>
    <row r="59" spans="1:10" x14ac:dyDescent="0.3">
      <c r="A59" s="3">
        <v>49</v>
      </c>
      <c r="B59" s="4"/>
      <c r="C59" s="4"/>
      <c r="D59" s="3"/>
      <c r="E59" s="4"/>
      <c r="F59" s="4"/>
      <c r="G59" s="5"/>
      <c r="H59" s="5"/>
      <c r="I59" s="6">
        <f t="shared" si="1"/>
        <v>0</v>
      </c>
      <c r="J59" s="3"/>
    </row>
    <row r="60" spans="1:10" x14ac:dyDescent="0.3">
      <c r="A60" s="3">
        <v>50</v>
      </c>
      <c r="B60" s="4"/>
      <c r="C60" s="4"/>
      <c r="D60" s="3"/>
      <c r="E60" s="4"/>
      <c r="F60" s="4"/>
      <c r="G60" s="5"/>
      <c r="H60" s="5"/>
      <c r="I60" s="6">
        <f t="shared" si="1"/>
        <v>0</v>
      </c>
      <c r="J60" s="3"/>
    </row>
    <row r="62" spans="1:10" x14ac:dyDescent="0.3">
      <c r="A62" s="9" t="s">
        <v>55</v>
      </c>
      <c r="B62" s="9"/>
      <c r="C62" s="9"/>
      <c r="D62" s="9"/>
      <c r="E62" s="9"/>
      <c r="F62" s="9"/>
      <c r="G62" s="9"/>
      <c r="H62" s="9"/>
      <c r="I62" s="5">
        <f>SUM(I11:I61)</f>
        <v>848887355</v>
      </c>
      <c r="J62" s="3"/>
    </row>
  </sheetData>
  <mergeCells count="8">
    <mergeCell ref="H5:J5"/>
    <mergeCell ref="A8:J8"/>
    <mergeCell ref="A62:H62"/>
    <mergeCell ref="A1:J1"/>
    <mergeCell ref="A3:D3"/>
    <mergeCell ref="A4:D4"/>
    <mergeCell ref="H3:J3"/>
    <mergeCell ref="H4:J4"/>
  </mergeCells>
  <phoneticPr fontId="7" type="noConversion"/>
  <dataValidations disablePrompts="1" count="3">
    <dataValidation type="list" allowBlank="1" showInputMessage="1" showErrorMessage="1" sqref="B11:B61" xr:uid="{00000000-0002-0000-0000-000000000000}">
      <formula1>"1.일반용역,2.SW용역,3-1.종합건축,3-2.전문/인테리어,3-3.전기/통신,4.마케팅,5.연구용역"</formula1>
    </dataValidation>
    <dataValidation type="list" allowBlank="1" showInputMessage="1" showErrorMessage="1" sqref="C11:C61" xr:uid="{00000000-0002-0000-0000-000001000000}">
      <formula1>"노무비,재료비,경비,제경비,일반관리비,이윤,산업안전보건관리비,기술료"</formula1>
    </dataValidation>
    <dataValidation type="list" allowBlank="1" showInputMessage="1" showErrorMessage="1" sqref="E11:E61" xr:uid="{00000000-0002-0000-0000-000002000000}">
      <formula1>"특급,고급,중급,초급,반장,보통,해당없음"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6.5" x14ac:dyDescent="0.3"/>
  <sheetData>
    <row r="1" spans="1:5" x14ac:dyDescent="0.3">
      <c r="A1" t="s">
        <v>0</v>
      </c>
      <c r="B1" t="s">
        <v>7</v>
      </c>
      <c r="C1" t="s">
        <v>15</v>
      </c>
      <c r="D1" t="s">
        <v>22</v>
      </c>
      <c r="E1" t="s">
        <v>26</v>
      </c>
    </row>
    <row r="2" spans="1:5" x14ac:dyDescent="0.3">
      <c r="A2" t="s">
        <v>1</v>
      </c>
      <c r="B2" t="s">
        <v>8</v>
      </c>
      <c r="C2" t="s">
        <v>16</v>
      </c>
      <c r="D2" t="s">
        <v>23</v>
      </c>
      <c r="E2" t="s">
        <v>27</v>
      </c>
    </row>
    <row r="3" spans="1:5" x14ac:dyDescent="0.3">
      <c r="A3" t="s">
        <v>2</v>
      </c>
      <c r="B3" t="s">
        <v>9</v>
      </c>
      <c r="C3" t="s">
        <v>17</v>
      </c>
      <c r="D3" t="s">
        <v>24</v>
      </c>
      <c r="E3" t="s">
        <v>28</v>
      </c>
    </row>
    <row r="4" spans="1:5" x14ac:dyDescent="0.3">
      <c r="A4" t="s">
        <v>3</v>
      </c>
      <c r="B4" t="s">
        <v>10</v>
      </c>
      <c r="C4" t="s">
        <v>18</v>
      </c>
      <c r="D4" t="s">
        <v>25</v>
      </c>
      <c r="E4" t="s">
        <v>29</v>
      </c>
    </row>
    <row r="5" spans="1:5" x14ac:dyDescent="0.3">
      <c r="A5" t="s">
        <v>4</v>
      </c>
      <c r="B5" t="s">
        <v>11</v>
      </c>
      <c r="C5" t="s">
        <v>19</v>
      </c>
      <c r="E5" t="s">
        <v>30</v>
      </c>
    </row>
    <row r="6" spans="1:5" x14ac:dyDescent="0.3">
      <c r="A6" t="s">
        <v>5</v>
      </c>
      <c r="B6" t="s">
        <v>12</v>
      </c>
      <c r="C6" t="s">
        <v>20</v>
      </c>
      <c r="E6" t="s">
        <v>31</v>
      </c>
    </row>
    <row r="7" spans="1:5" x14ac:dyDescent="0.3">
      <c r="A7" t="s">
        <v>6</v>
      </c>
      <c r="B7" t="s">
        <v>13</v>
      </c>
      <c r="C7" t="s">
        <v>21</v>
      </c>
      <c r="E7" t="s">
        <v>32</v>
      </c>
    </row>
    <row r="8" spans="1:5" x14ac:dyDescent="0.3">
      <c r="B8" t="s">
        <v>14</v>
      </c>
      <c r="E8" t="s">
        <v>33</v>
      </c>
    </row>
    <row r="9" spans="1:5" x14ac:dyDescent="0.3">
      <c r="E9" t="s">
        <v>34</v>
      </c>
    </row>
    <row r="10" spans="1:5" x14ac:dyDescent="0.3">
      <c r="E10" t="s">
        <v>35</v>
      </c>
    </row>
    <row r="11" spans="1:5" x14ac:dyDescent="0.3">
      <c r="E11" t="s">
        <v>36</v>
      </c>
    </row>
    <row r="12" spans="1:5" x14ac:dyDescent="0.3">
      <c r="E12" t="s">
        <v>37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견적서(상세)</vt:lpstr>
      <vt:lpstr>Reference</vt:lpstr>
      <vt:lpstr>UNIT_노무비</vt:lpstr>
      <vt:lpstr>UNIT_재료비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임상현/책임/구매.설비구매/GP.R&amp;D구매P/limsanghyeon</dc:creator>
  <cp:lastModifiedBy>임상현(SANGHYEON LIM)[limsanghyeon]/책임/구매.설비구매/GP.R&amp;D구매P</cp:lastModifiedBy>
  <dcterms:created xsi:type="dcterms:W3CDTF">2026-02-03T01:33:26Z</dcterms:created>
  <dcterms:modified xsi:type="dcterms:W3CDTF">2026-02-03T05:26:46Z</dcterms:modified>
</cp:coreProperties>
</file>